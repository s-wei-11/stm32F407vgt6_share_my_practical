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73DABFFA-D783-4507-8D63-67F03AC1A1C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om模板" sheetId="1" r:id="rId1"/>
    <sheet name="Field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3" i="1" l="1"/>
  <c r="L42" i="1"/>
  <c r="A42" i="1"/>
  <c r="L41" i="1"/>
  <c r="A41" i="1"/>
  <c r="L40" i="1"/>
  <c r="A40" i="1"/>
  <c r="L39" i="1"/>
  <c r="A39" i="1"/>
  <c r="L38" i="1"/>
  <c r="A38" i="1"/>
  <c r="L37" i="1"/>
  <c r="A37" i="1"/>
  <c r="L36" i="1"/>
  <c r="A36" i="1"/>
  <c r="L35" i="1"/>
  <c r="A35" i="1"/>
  <c r="L34" i="1"/>
  <c r="A34" i="1"/>
  <c r="L33" i="1"/>
  <c r="A33" i="1"/>
  <c r="L32" i="1"/>
  <c r="A32" i="1"/>
  <c r="L31" i="1"/>
  <c r="A31" i="1"/>
  <c r="L30" i="1"/>
  <c r="A30" i="1"/>
  <c r="L29" i="1"/>
  <c r="A29" i="1"/>
  <c r="L28" i="1"/>
  <c r="A28" i="1"/>
  <c r="L27" i="1"/>
  <c r="A27" i="1"/>
  <c r="L26" i="1"/>
  <c r="A26" i="1"/>
  <c r="L25" i="1"/>
  <c r="A25" i="1"/>
  <c r="L24" i="1"/>
  <c r="A24" i="1"/>
  <c r="L23" i="1"/>
  <c r="A23" i="1"/>
  <c r="L22" i="1"/>
  <c r="A22" i="1"/>
  <c r="L21" i="1"/>
  <c r="A21" i="1"/>
  <c r="L20" i="1"/>
  <c r="A20" i="1"/>
  <c r="L19" i="1"/>
  <c r="A19" i="1"/>
  <c r="L18" i="1"/>
  <c r="A18" i="1"/>
  <c r="L17" i="1"/>
  <c r="A17" i="1"/>
  <c r="L16" i="1"/>
  <c r="A16" i="1"/>
  <c r="L15" i="1"/>
  <c r="A15" i="1"/>
  <c r="L14" i="1"/>
  <c r="A14" i="1"/>
  <c r="L13" i="1"/>
  <c r="A13" i="1"/>
  <c r="L12" i="1"/>
  <c r="A12" i="1"/>
  <c r="L11" i="1"/>
  <c r="A11" i="1"/>
  <c r="L10" i="1"/>
  <c r="A10" i="1"/>
  <c r="L9" i="1"/>
  <c r="A9" i="1"/>
  <c r="L8" i="1"/>
  <c r="A8" i="1"/>
  <c r="L7" i="1"/>
  <c r="B43" i="1" s="1"/>
  <c r="A7" i="1"/>
</calcChain>
</file>

<file path=xl/sharedStrings.xml><?xml version="1.0" encoding="utf-8"?>
<sst xmlns="http://schemas.openxmlformats.org/spreadsheetml/2006/main" count="397" uniqueCount="196">
  <si>
    <t/>
  </si>
  <si>
    <t xml:space="preserve">Bill of Materials </t>
  </si>
  <si>
    <t>BOM_F407VET6扩展板V1.0_PCB1_1_2026-04-22</t>
  </si>
  <si>
    <t>Project Title：</t>
  </si>
  <si>
    <t>STM32F407VET6扩展板V1.0_所谓</t>
  </si>
  <si>
    <t>Variant:</t>
  </si>
  <si>
    <t xml:space="preserve"> </t>
  </si>
  <si>
    <t>Report Time：</t>
  </si>
  <si>
    <t>2026年4月22日 7:49:30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</si>
  <si>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</si>
  <si>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</si>
  <si>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</si>
  <si>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</si>
  <si>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</si>
  <si>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</si>
  <si>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</si>
  <si>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</si>
  <si>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</si>
  <si>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</si>
  <si>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</si>
  <si>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</si>
  <si>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HS13L03W2C01</t>
  </si>
  <si>
    <t>0.96-OLED-IIC</t>
  </si>
  <si>
    <t>OLED12864</t>
  </si>
  <si>
    <t>HS(汉昇)</t>
  </si>
  <si>
    <t>C7465997</t>
  </si>
  <si>
    <t>LCSC</t>
  </si>
  <si>
    <t>XH-2AW</t>
  </si>
  <si>
    <t>1.65V, 3V3, +5V</t>
  </si>
  <si>
    <t>CONN-TH_2P-P2.50_XH-2AW</t>
  </si>
  <si>
    <t>BOOMELE(博穆精密)</t>
  </si>
  <si>
    <t>C33132</t>
  </si>
  <si>
    <t>1.8 TFT 128*RGB*160</t>
  </si>
  <si>
    <t>1.8寸TFT</t>
  </si>
  <si>
    <t>LCD-TH_8P-P2.54-L56.0-W34.0_1.8-TFT</t>
  </si>
  <si>
    <t>C9900080251</t>
  </si>
  <si>
    <t>2.7kHz</t>
  </si>
  <si>
    <t>BUZZER</t>
  </si>
  <si>
    <t>BUZ-TH_BD9.0-P4.00-D0.6-FD</t>
  </si>
  <si>
    <t>QMB-09B-03</t>
  </si>
  <si>
    <t>华能</t>
  </si>
  <si>
    <t>C96256</t>
  </si>
  <si>
    <t>100nF</t>
  </si>
  <si>
    <t>C1, C2</t>
  </si>
  <si>
    <t>C0603</t>
  </si>
  <si>
    <t>CC0603KRX7R9BB104</t>
  </si>
  <si>
    <t>YAGEO(国巨)</t>
  </si>
  <si>
    <t>C14663</t>
  </si>
  <si>
    <t>10uF</t>
  </si>
  <si>
    <t>C3</t>
  </si>
  <si>
    <t>CAP-TH_BD5.0-P2.00-D0.8-FD</t>
  </si>
  <si>
    <t>01EC1809SHC10UF50V</t>
  </si>
  <si>
    <t>KNSCHA(科尼盛)</t>
  </si>
  <si>
    <t>C503219</t>
  </si>
  <si>
    <t>DC插座</t>
  </si>
  <si>
    <t>DC1</t>
  </si>
  <si>
    <t>DC-IN-TH_DC-005-5A-2.0</t>
  </si>
  <si>
    <t>DC-005-5A-2.0</t>
  </si>
  <si>
    <t>XKB Enterprise</t>
  </si>
  <si>
    <t>C381116</t>
  </si>
  <si>
    <t>LCKFB-LSPI-SkyStar-GD32F407VET6-LITE</t>
  </si>
  <si>
    <t>EVK1</t>
  </si>
  <si>
    <t>DIP-80_L44.97-W69.97-P2.54X2-LS35.9</t>
  </si>
  <si>
    <t>立创开发板</t>
  </si>
  <si>
    <t>C20607214</t>
  </si>
  <si>
    <t>PZ254V-12-6P</t>
  </si>
  <si>
    <t>H1, H2, H3, H5, 舵机*4</t>
  </si>
  <si>
    <t>HDR-TH_6P-P2.54-V-M-R2-C3-S2.54</t>
  </si>
  <si>
    <t>XFCN(兴飞)</t>
  </si>
  <si>
    <t>C492420</t>
  </si>
  <si>
    <t>2.54-1*6P母</t>
  </si>
  <si>
    <t>HC05蓝牙</t>
  </si>
  <si>
    <t>HC05</t>
  </si>
  <si>
    <t>C40877</t>
  </si>
  <si>
    <t>ZX-XH2.54-4PZZ</t>
  </si>
  <si>
    <t>I2C2, TIM4_PWM, UART5</t>
  </si>
  <si>
    <t>CONN-TH_4P-P2.50_4PIN</t>
  </si>
  <si>
    <t>Megastar(兆星)</t>
  </si>
  <si>
    <t>C7429634</t>
  </si>
  <si>
    <t>OLED12864_SPI</t>
  </si>
  <si>
    <t>J1</t>
  </si>
  <si>
    <t>OLED-TH_OLED0.96-SPI</t>
  </si>
  <si>
    <t>XL-5050RGBC-WS2812B</t>
  </si>
  <si>
    <t>LED1</t>
  </si>
  <si>
    <t>LED-SMD_4P-L5.0-W5.0-BL_XL-5050RGBC</t>
  </si>
  <si>
    <t>XINGLIGHT(成兴光)</t>
  </si>
  <si>
    <t>C2843785</t>
  </si>
  <si>
    <t>LED_0603-R</t>
  </si>
  <si>
    <t>LED2, LED5</t>
  </si>
  <si>
    <t>LED_0603</t>
  </si>
  <si>
    <t>LED_0603-G</t>
  </si>
  <si>
    <t>LED3</t>
  </si>
  <si>
    <t>LED_0603-B</t>
  </si>
  <si>
    <t>LED4</t>
  </si>
  <si>
    <t>S8050-J3Y</t>
  </si>
  <si>
    <t>Q1</t>
  </si>
  <si>
    <t>SOT-23-3_L3.0-W1.7-P0.95-LS2.9-BR</t>
  </si>
  <si>
    <t>(MDD) Jiangsu Yutai Elec</t>
  </si>
  <si>
    <t>C364312</t>
  </si>
  <si>
    <t>0Ω</t>
  </si>
  <si>
    <t>R1</t>
  </si>
  <si>
    <t>R0805</t>
  </si>
  <si>
    <t>0805W8F0000T5E</t>
  </si>
  <si>
    <t>UNI-ROYAL(厚声)</t>
  </si>
  <si>
    <t>C17477</t>
  </si>
  <si>
    <t>4.7kΩ</t>
  </si>
  <si>
    <t>R2, R3</t>
  </si>
  <si>
    <t>R0603</t>
  </si>
  <si>
    <t>0603WAF4701T5E</t>
  </si>
  <si>
    <t>C23162</t>
  </si>
  <si>
    <t>1K</t>
  </si>
  <si>
    <t>R4, R5, R6, R7</t>
  </si>
  <si>
    <t>50kΩ</t>
  </si>
  <si>
    <t>R8</t>
  </si>
  <si>
    <t>RT0603BRD0750KL</t>
  </si>
  <si>
    <t>C861451</t>
  </si>
  <si>
    <t>10kΩ</t>
  </si>
  <si>
    <t>R9</t>
  </si>
  <si>
    <t>RES-ADJ-TH_3362P</t>
  </si>
  <si>
    <t>3362P-1-103</t>
  </si>
  <si>
    <t>BOCHEN(博晨)</t>
  </si>
  <si>
    <t>C118956</t>
  </si>
  <si>
    <t>4.7K</t>
  </si>
  <si>
    <t>R10, R16, R17</t>
  </si>
  <si>
    <t>GL5516</t>
  </si>
  <si>
    <t>R11</t>
  </si>
  <si>
    <t>RES-TH_L5.1-W4.3-P3.40-D0.5</t>
  </si>
  <si>
    <t>Senba</t>
  </si>
  <si>
    <t>C125626</t>
  </si>
  <si>
    <t>10K</t>
  </si>
  <si>
    <t>R12, R13, R14</t>
  </si>
  <si>
    <t>R15</t>
  </si>
  <si>
    <t>MFR0W4F1001A50</t>
  </si>
  <si>
    <t>BWSMA-KWE-Z001</t>
  </si>
  <si>
    <t>RF1, RF2</t>
  </si>
  <si>
    <t>SMA-TH_BWSMA-KWE-Z001</t>
  </si>
  <si>
    <t>BAT WIRELESS(蝙蝠无线)</t>
  </si>
  <si>
    <t>C496551</t>
  </si>
  <si>
    <t>TS-1101-C-W</t>
  </si>
  <si>
    <t>SW1, SW2, SW3, SW4</t>
  </si>
  <si>
    <t>SW-SMD_L6.0-W3.3-LS8.0</t>
  </si>
  <si>
    <t>XKB Connectivity(中国星坤)</t>
  </si>
  <si>
    <t>C318938</t>
  </si>
  <si>
    <t>SK-12E12-G5</t>
  </si>
  <si>
    <t>SW5</t>
  </si>
  <si>
    <t>SW-TH_SK-12E12-G5</t>
  </si>
  <si>
    <t>韩国韩荣</t>
  </si>
  <si>
    <t>C136720</t>
  </si>
  <si>
    <t>EC11L1525G01</t>
  </si>
  <si>
    <t>SW6</t>
  </si>
  <si>
    <t>SW-TH_ALPS_EC11L1525G01</t>
  </si>
  <si>
    <t>ALPSALPINE(阿尔卑斯阿尔派)</t>
  </si>
  <si>
    <t>C2991196</t>
  </si>
  <si>
    <t>M3螺丝孔</t>
  </si>
  <si>
    <t>TP1, TP2, TP3, TP4</t>
  </si>
  <si>
    <t>M3螺丝</t>
  </si>
  <si>
    <t>P125-1220A0BS116A1</t>
  </si>
  <si>
    <t>U1, U2</t>
  </si>
  <si>
    <t>HDR-TH_40P-P2.54-V-M-R2-C20-S2.54_10-97-7406</t>
  </si>
  <si>
    <t>Yxcon(宇熙精密)</t>
  </si>
  <si>
    <t>C19190512</t>
  </si>
  <si>
    <t>DHT11</t>
  </si>
  <si>
    <t>U3</t>
  </si>
  <si>
    <t>SENSOR-TH_DHT11</t>
  </si>
  <si>
    <t>广州奥松</t>
  </si>
  <si>
    <t>C117051</t>
  </si>
  <si>
    <t>2.54-1*4P母</t>
  </si>
  <si>
    <t>新GND版</t>
  </si>
  <si>
    <t>HDR-TH_4P-P2.54-V-F</t>
  </si>
  <si>
    <t>C2718488</t>
  </si>
  <si>
    <t>PZ254R-11-04P</t>
  </si>
  <si>
    <t>超声波</t>
  </si>
  <si>
    <t>HDR-TH_4P-P2.54-H-M-W10.4</t>
  </si>
  <si>
    <t>C492412</t>
  </si>
  <si>
    <t>XH-4AW</t>
  </si>
  <si>
    <t>陶晶驰串口屏</t>
  </si>
  <si>
    <t>HCTL(华灿天禄)</t>
  </si>
  <si>
    <t>C2908613</t>
  </si>
  <si>
    <t>Project Title</t>
  </si>
  <si>
    <t>Borard Title</t>
  </si>
  <si>
    <t>F407VET6扩展板V1.0</t>
  </si>
  <si>
    <t>Schematic Title</t>
  </si>
  <si>
    <t>Schematic1</t>
  </si>
  <si>
    <t>PCB Title</t>
  </si>
  <si>
    <t>PCB1_1</t>
  </si>
  <si>
    <t>Variant Name</t>
  </si>
  <si>
    <t>Total Quantity</t>
  </si>
  <si>
    <t>Report Time</t>
  </si>
  <si>
    <t>7:49:30</t>
  </si>
  <si>
    <t>Report Date</t>
  </si>
  <si>
    <t>2026年4月22日</t>
  </si>
  <si>
    <t>Report Date&amp;Time</t>
  </si>
  <si>
    <t>File Name</t>
  </si>
  <si>
    <t>Filter Option</t>
  </si>
  <si>
    <t xml:space="preserve">Add into BOM:no; </t>
  </si>
  <si>
    <t>其中核心板我自己从立创商城下单的，屏幕我自己有 然后我加了两个核心板对应的排母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</si>
</sst>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¥#,##0.00;\¥\-#,##0.00"/>
  </numFmts>
  <fonts count="5" x14ac:knownFonts="1">
    <font>
      <sz val="11"/>
      <color theme="1"/>
      <name val="宋体"/>
      <family val="2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9"/>
      <name val="宋体"/>
      <family val="3"/>
      <charset val="134"/>
      <scheme val="minor"/>
    </font>
    <font>
      <b/>
      <sz val="16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5117038483843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76" fontId="1" fillId="3" borderId="3" xfId="0" applyNumberFormat="1" applyFont="1" applyFill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76" fontId="1" fillId="0" borderId="3" xfId="0" applyNumberFormat="1" applyFont="1" applyBorder="1" applyAlignment="1">
      <alignment horizontal="right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2</xdr:col>
      <xdr:colOff>2503260</xdr:colOff>
      <xdr:row>4</xdr:row>
      <xdr:rowOff>105091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showGridLines="0" tabSelected="1" zoomScale="115" zoomScaleNormal="115" workbookViewId="0">
      <selection activeCell="C46" sqref="C46:E49"/>
    </sheetView>
  </sheetViews>
  <sheetFormatPr defaultColWidth="9" defaultRowHeight="14.25" customHeight="1" x14ac:dyDescent="0.15"/>
  <cols>
    <col min="1" max="1" width="16.25" customWidth="1"/>
    <col min="2" max="2" width="17.125" customWidth="1"/>
    <col min="3" max="3" width="44" customWidth="1"/>
    <col min="4" max="4" width="39.375" customWidth="1"/>
    <col min="5" max="5" width="38.25" customWidth="1"/>
    <col min="6" max="6" width="28.375" customWidth="1"/>
    <col min="7" max="7" width="36.125" customWidth="1"/>
    <col min="8" max="8" width="31.25" customWidth="1"/>
    <col min="9" max="9" width="23.5" customWidth="1"/>
    <col min="10" max="10" width="14.375" customWidth="1"/>
    <col min="11" max="11" width="10.25" customWidth="1"/>
  </cols>
  <sheetData>
    <row r="1" spans="1:12" ht="14.25" customHeight="1" x14ac:dyDescent="0.2">
      <c r="A1" s="9" t="s">
        <v>0</v>
      </c>
      <c r="B1" s="9"/>
      <c r="C1" s="9"/>
      <c r="D1" s="9"/>
      <c r="E1" s="10" t="s">
        <v>1</v>
      </c>
      <c r="F1" s="10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1" t="s">
        <v>0</v>
      </c>
    </row>
    <row r="2" spans="1:12" ht="14.25" customHeight="1" x14ac:dyDescent="0.2">
      <c r="A2" s="9"/>
      <c r="B2" s="9"/>
      <c r="C2" s="9"/>
      <c r="D2" s="9"/>
      <c r="E2" s="10"/>
      <c r="F2" s="10"/>
      <c r="G2" t="s">
        <v>0</v>
      </c>
      <c r="H2" t="s">
        <v>0</v>
      </c>
      <c r="I2" t="s">
        <v>0</v>
      </c>
      <c r="J2" t="s">
        <v>0</v>
      </c>
      <c r="K2" t="s">
        <v>0</v>
      </c>
      <c r="L2" s="1" t="s">
        <v>0</v>
      </c>
    </row>
    <row r="3" spans="1:12" ht="14.25" customHeight="1" x14ac:dyDescent="0.2">
      <c r="A3" s="9"/>
      <c r="B3" s="9"/>
      <c r="C3" s="9"/>
      <c r="D3" s="9"/>
      <c r="E3" s="2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1" t="s">
        <v>0</v>
      </c>
    </row>
    <row r="4" spans="1:12" ht="14.25" customHeight="1" x14ac:dyDescent="0.2">
      <c r="A4" s="9"/>
      <c r="B4" s="9"/>
      <c r="C4" s="9"/>
      <c r="D4" s="9"/>
      <c r="E4" s="2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1" t="s">
        <v>0</v>
      </c>
    </row>
    <row r="5" spans="1:12" ht="14.25" customHeight="1" x14ac:dyDescent="0.2">
      <c r="A5" s="9"/>
      <c r="B5" s="9"/>
      <c r="C5" s="9"/>
      <c r="D5" s="9"/>
      <c r="E5" s="2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3" t="s">
        <v>0</v>
      </c>
    </row>
    <row r="6" spans="1:12" ht="14.25" customHeight="1" x14ac:dyDescent="0.2">
      <c r="A6" s="4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5" t="s">
        <v>16</v>
      </c>
      <c r="I6" s="5" t="s">
        <v>17</v>
      </c>
      <c r="J6" s="5" t="s">
        <v>18</v>
      </c>
      <c r="K6" s="5" t="s">
        <v>19</v>
      </c>
      <c r="L6" s="5" t="s">
        <v>20</v>
      </c>
    </row>
    <row r="7" spans="1:12" ht="14.25" customHeight="1" x14ac:dyDescent="0.2">
      <c r="A7" s="6">
        <f t="shared" ref="A7:A43" si="0">ROW()-6</f>
        <v>1</v>
      </c>
      <c r="B7" s="7">
        <v>1</v>
      </c>
      <c r="C7" s="7" t="s">
        <v>21</v>
      </c>
      <c r="D7" s="7" t="s">
        <v>22</v>
      </c>
      <c r="E7" s="7" t="s">
        <v>23</v>
      </c>
      <c r="F7" s="7" t="s">
        <v>0</v>
      </c>
      <c r="G7" s="7" t="s">
        <v>21</v>
      </c>
      <c r="H7" s="7" t="s">
        <v>24</v>
      </c>
      <c r="I7" s="7" t="s">
        <v>25</v>
      </c>
      <c r="J7" s="7" t="s">
        <v>26</v>
      </c>
      <c r="K7" s="7" t="s">
        <v>0</v>
      </c>
      <c r="L7" s="8" t="e">
        <f t="shared" ref="L7:L42" si="1">B7*K7</f>
        <v>#VALUE!</v>
      </c>
    </row>
    <row r="8" spans="1:12" ht="14.25" customHeight="1" x14ac:dyDescent="0.2">
      <c r="A8" s="6">
        <f t="shared" si="0"/>
        <v>2</v>
      </c>
      <c r="B8" s="7">
        <v>3</v>
      </c>
      <c r="C8" s="7" t="s">
        <v>27</v>
      </c>
      <c r="D8" s="7" t="s">
        <v>28</v>
      </c>
      <c r="E8" s="7" t="s">
        <v>29</v>
      </c>
      <c r="F8" s="7" t="s">
        <v>0</v>
      </c>
      <c r="G8" s="7" t="s">
        <v>27</v>
      </c>
      <c r="H8" s="7" t="s">
        <v>30</v>
      </c>
      <c r="I8" s="7" t="s">
        <v>31</v>
      </c>
      <c r="J8" s="7" t="s">
        <v>26</v>
      </c>
      <c r="K8" s="7" t="s">
        <v>0</v>
      </c>
      <c r="L8" s="8" t="e">
        <f t="shared" si="1"/>
        <v>#VALUE!</v>
      </c>
    </row>
    <row r="9" spans="1:12" ht="14.25" customHeight="1" x14ac:dyDescent="0.2">
      <c r="A9" s="6">
        <f t="shared" si="0"/>
        <v>3</v>
      </c>
      <c r="B9" s="7">
        <v>1</v>
      </c>
      <c r="C9" s="7" t="s">
        <v>32</v>
      </c>
      <c r="D9" s="7" t="s">
        <v>33</v>
      </c>
      <c r="E9" s="7" t="s">
        <v>34</v>
      </c>
      <c r="F9" s="7" t="s">
        <v>0</v>
      </c>
      <c r="G9" s="7" t="s">
        <v>32</v>
      </c>
      <c r="H9" s="7" t="s">
        <v>0</v>
      </c>
      <c r="I9" s="7" t="s">
        <v>35</v>
      </c>
      <c r="J9" s="7" t="s">
        <v>26</v>
      </c>
      <c r="K9" s="7" t="s">
        <v>0</v>
      </c>
      <c r="L9" s="8" t="e">
        <f t="shared" si="1"/>
        <v>#VALUE!</v>
      </c>
    </row>
    <row r="10" spans="1:12" ht="14.25" customHeight="1" x14ac:dyDescent="0.2">
      <c r="A10" s="6">
        <f t="shared" si="0"/>
        <v>4</v>
      </c>
      <c r="B10" s="7">
        <v>1</v>
      </c>
      <c r="C10" s="7" t="s">
        <v>36</v>
      </c>
      <c r="D10" s="7" t="s">
        <v>37</v>
      </c>
      <c r="E10" s="7" t="s">
        <v>38</v>
      </c>
      <c r="F10" s="7" t="s">
        <v>36</v>
      </c>
      <c r="G10" s="7" t="s">
        <v>39</v>
      </c>
      <c r="H10" s="7" t="s">
        <v>40</v>
      </c>
      <c r="I10" s="7" t="s">
        <v>41</v>
      </c>
      <c r="J10" s="7" t="s">
        <v>26</v>
      </c>
      <c r="K10" s="7" t="s">
        <v>0</v>
      </c>
      <c r="L10" s="8" t="e">
        <f t="shared" si="1"/>
        <v>#VALUE!</v>
      </c>
    </row>
    <row r="11" spans="1:12" ht="14.25" customHeight="1" x14ac:dyDescent="0.2">
      <c r="A11" s="6">
        <f t="shared" si="0"/>
        <v>5</v>
      </c>
      <c r="B11" s="7">
        <v>2</v>
      </c>
      <c r="C11" s="7" t="s">
        <v>42</v>
      </c>
      <c r="D11" s="7" t="s">
        <v>43</v>
      </c>
      <c r="E11" s="7" t="s">
        <v>44</v>
      </c>
      <c r="F11" s="7" t="s">
        <v>42</v>
      </c>
      <c r="G11" s="7" t="s">
        <v>45</v>
      </c>
      <c r="H11" s="7" t="s">
        <v>46</v>
      </c>
      <c r="I11" s="7" t="s">
        <v>47</v>
      </c>
      <c r="J11" s="7" t="s">
        <v>26</v>
      </c>
      <c r="K11" s="7" t="s">
        <v>0</v>
      </c>
      <c r="L11" s="8" t="e">
        <f t="shared" si="1"/>
        <v>#VALUE!</v>
      </c>
    </row>
    <row r="12" spans="1:12" ht="14.25" customHeight="1" x14ac:dyDescent="0.2">
      <c r="A12" s="6">
        <f t="shared" si="0"/>
        <v>6</v>
      </c>
      <c r="B12" s="7">
        <v>1</v>
      </c>
      <c r="C12" s="7" t="s">
        <v>48</v>
      </c>
      <c r="D12" s="7" t="s">
        <v>49</v>
      </c>
      <c r="E12" s="7" t="s">
        <v>50</v>
      </c>
      <c r="F12" s="7" t="s">
        <v>48</v>
      </c>
      <c r="G12" s="7" t="s">
        <v>51</v>
      </c>
      <c r="H12" s="7" t="s">
        <v>52</v>
      </c>
      <c r="I12" s="7" t="s">
        <v>53</v>
      </c>
      <c r="J12" s="7" t="s">
        <v>26</v>
      </c>
      <c r="K12" s="7" t="s">
        <v>0</v>
      </c>
      <c r="L12" s="8" t="e">
        <f t="shared" si="1"/>
        <v>#VALUE!</v>
      </c>
    </row>
    <row r="13" spans="1:12" ht="14.25" customHeight="1" x14ac:dyDescent="0.2">
      <c r="A13" s="6">
        <f t="shared" si="0"/>
        <v>7</v>
      </c>
      <c r="B13" s="7">
        <v>1</v>
      </c>
      <c r="C13" s="7" t="s">
        <v>54</v>
      </c>
      <c r="D13" s="7" t="s">
        <v>55</v>
      </c>
      <c r="E13" s="7" t="s">
        <v>56</v>
      </c>
      <c r="F13" s="7" t="s">
        <v>0</v>
      </c>
      <c r="G13" s="7" t="s">
        <v>57</v>
      </c>
      <c r="H13" s="7" t="s">
        <v>58</v>
      </c>
      <c r="I13" s="7" t="s">
        <v>59</v>
      </c>
      <c r="J13" s="7" t="s">
        <v>26</v>
      </c>
      <c r="K13" s="7" t="s">
        <v>0</v>
      </c>
      <c r="L13" s="8" t="e">
        <f t="shared" si="1"/>
        <v>#VALUE!</v>
      </c>
    </row>
    <row r="14" spans="1:12" ht="14.25" customHeight="1" x14ac:dyDescent="0.2">
      <c r="A14" s="6">
        <f t="shared" si="0"/>
        <v>8</v>
      </c>
      <c r="B14" s="7">
        <v>1</v>
      </c>
      <c r="C14" s="7" t="s">
        <v>60</v>
      </c>
      <c r="D14" s="7" t="s">
        <v>61</v>
      </c>
      <c r="E14" s="7" t="s">
        <v>62</v>
      </c>
      <c r="F14" s="7" t="s">
        <v>0</v>
      </c>
      <c r="G14" s="7" t="s">
        <v>60</v>
      </c>
      <c r="H14" s="7" t="s">
        <v>63</v>
      </c>
      <c r="I14" s="7" t="s">
        <v>64</v>
      </c>
      <c r="J14" s="7" t="s">
        <v>26</v>
      </c>
      <c r="K14" s="7" t="s">
        <v>0</v>
      </c>
      <c r="L14" s="8" t="e">
        <f t="shared" si="1"/>
        <v>#VALUE!</v>
      </c>
    </row>
    <row r="15" spans="1:12" ht="14.25" customHeight="1" x14ac:dyDescent="0.2">
      <c r="A15" s="6">
        <f t="shared" si="0"/>
        <v>9</v>
      </c>
      <c r="B15" s="7">
        <v>5</v>
      </c>
      <c r="C15" s="7" t="s">
        <v>65</v>
      </c>
      <c r="D15" s="7" t="s">
        <v>66</v>
      </c>
      <c r="E15" s="7" t="s">
        <v>67</v>
      </c>
      <c r="F15" s="7" t="s">
        <v>0</v>
      </c>
      <c r="G15" s="7" t="s">
        <v>65</v>
      </c>
      <c r="H15" s="7" t="s">
        <v>68</v>
      </c>
      <c r="I15" s="7" t="s">
        <v>69</v>
      </c>
      <c r="J15" s="7" t="s">
        <v>26</v>
      </c>
      <c r="K15" s="7" t="s">
        <v>0</v>
      </c>
      <c r="L15" s="8" t="e">
        <f t="shared" si="1"/>
        <v>#VALUE!</v>
      </c>
    </row>
    <row r="16" spans="1:12" ht="14.25" customHeight="1" x14ac:dyDescent="0.2">
      <c r="A16" s="6">
        <f t="shared" si="0"/>
        <v>10</v>
      </c>
      <c r="B16" s="7">
        <v>1</v>
      </c>
      <c r="C16" s="7" t="s">
        <v>70</v>
      </c>
      <c r="D16" s="7" t="s">
        <v>71</v>
      </c>
      <c r="E16" s="7" t="s">
        <v>72</v>
      </c>
      <c r="F16" s="7" t="s">
        <v>0</v>
      </c>
      <c r="G16" s="7" t="s">
        <v>70</v>
      </c>
      <c r="H16" s="7" t="s">
        <v>30</v>
      </c>
      <c r="I16" s="7" t="s">
        <v>73</v>
      </c>
      <c r="J16" s="7" t="s">
        <v>26</v>
      </c>
      <c r="K16" s="7" t="s">
        <v>0</v>
      </c>
      <c r="L16" s="8" t="e">
        <f t="shared" si="1"/>
        <v>#VALUE!</v>
      </c>
    </row>
    <row r="17" spans="1:12" ht="14.25" customHeight="1" x14ac:dyDescent="0.2">
      <c r="A17" s="6">
        <f t="shared" si="0"/>
        <v>11</v>
      </c>
      <c r="B17" s="7">
        <v>3</v>
      </c>
      <c r="C17" s="7" t="s">
        <v>74</v>
      </c>
      <c r="D17" s="7" t="s">
        <v>75</v>
      </c>
      <c r="E17" s="7" t="s">
        <v>76</v>
      </c>
      <c r="F17" s="7" t="s">
        <v>0</v>
      </c>
      <c r="G17" s="7" t="s">
        <v>74</v>
      </c>
      <c r="H17" s="7" t="s">
        <v>77</v>
      </c>
      <c r="I17" s="7" t="s">
        <v>78</v>
      </c>
      <c r="J17" s="7" t="s">
        <v>26</v>
      </c>
      <c r="K17" s="7" t="s">
        <v>0</v>
      </c>
      <c r="L17" s="8" t="e">
        <f t="shared" si="1"/>
        <v>#VALUE!</v>
      </c>
    </row>
    <row r="18" spans="1:12" ht="14.25" customHeight="1" x14ac:dyDescent="0.2">
      <c r="A18" s="6">
        <f t="shared" si="0"/>
        <v>12</v>
      </c>
      <c r="B18" s="7">
        <v>1</v>
      </c>
      <c r="C18" s="7" t="s">
        <v>79</v>
      </c>
      <c r="D18" s="7" t="s">
        <v>80</v>
      </c>
      <c r="E18" s="7" t="s">
        <v>81</v>
      </c>
      <c r="F18" s="7" t="s">
        <v>0</v>
      </c>
      <c r="G18" s="7" t="s">
        <v>0</v>
      </c>
      <c r="H18" s="7" t="s">
        <v>0</v>
      </c>
      <c r="I18" s="7" t="s">
        <v>0</v>
      </c>
      <c r="J18" s="7" t="s">
        <v>0</v>
      </c>
      <c r="K18" s="7" t="s">
        <v>0</v>
      </c>
      <c r="L18" s="8" t="e">
        <f t="shared" si="1"/>
        <v>#VALUE!</v>
      </c>
    </row>
    <row r="19" spans="1:12" ht="14.25" customHeight="1" x14ac:dyDescent="0.2">
      <c r="A19" s="6">
        <f t="shared" si="0"/>
        <v>13</v>
      </c>
      <c r="B19" s="7">
        <v>1</v>
      </c>
      <c r="C19" s="7" t="s">
        <v>82</v>
      </c>
      <c r="D19" s="7" t="s">
        <v>83</v>
      </c>
      <c r="E19" s="7" t="s">
        <v>84</v>
      </c>
      <c r="F19" s="7" t="s">
        <v>0</v>
      </c>
      <c r="G19" s="7" t="s">
        <v>82</v>
      </c>
      <c r="H19" s="7" t="s">
        <v>85</v>
      </c>
      <c r="I19" s="7" t="s">
        <v>86</v>
      </c>
      <c r="J19" s="7" t="s">
        <v>26</v>
      </c>
      <c r="K19" s="7" t="s">
        <v>0</v>
      </c>
      <c r="L19" s="8" t="e">
        <f t="shared" si="1"/>
        <v>#VALUE!</v>
      </c>
    </row>
    <row r="20" spans="1:12" ht="14.25" customHeight="1" x14ac:dyDescent="0.2">
      <c r="A20" s="6">
        <f t="shared" si="0"/>
        <v>14</v>
      </c>
      <c r="B20" s="7">
        <v>2</v>
      </c>
      <c r="C20" s="7" t="s">
        <v>87</v>
      </c>
      <c r="D20" s="7" t="s">
        <v>88</v>
      </c>
      <c r="E20" s="7" t="s">
        <v>89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8" t="e">
        <f t="shared" si="1"/>
        <v>#VALUE!</v>
      </c>
    </row>
    <row r="21" spans="1:12" ht="14.25" customHeight="1" x14ac:dyDescent="0.2">
      <c r="A21" s="6">
        <f t="shared" si="0"/>
        <v>15</v>
      </c>
      <c r="B21" s="7">
        <v>1</v>
      </c>
      <c r="C21" s="7" t="s">
        <v>90</v>
      </c>
      <c r="D21" s="7" t="s">
        <v>91</v>
      </c>
      <c r="E21" s="7" t="s">
        <v>89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8" t="e">
        <f t="shared" si="1"/>
        <v>#VALUE!</v>
      </c>
    </row>
    <row r="22" spans="1:12" ht="14.25" customHeight="1" x14ac:dyDescent="0.2">
      <c r="A22" s="6">
        <f t="shared" si="0"/>
        <v>16</v>
      </c>
      <c r="B22" s="7">
        <v>1</v>
      </c>
      <c r="C22" s="7" t="s">
        <v>92</v>
      </c>
      <c r="D22" s="7" t="s">
        <v>93</v>
      </c>
      <c r="E22" s="7" t="s">
        <v>89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8" t="e">
        <f t="shared" si="1"/>
        <v>#VALUE!</v>
      </c>
    </row>
    <row r="23" spans="1:12" ht="14.25" customHeight="1" x14ac:dyDescent="0.2">
      <c r="A23" s="6">
        <f t="shared" si="0"/>
        <v>17</v>
      </c>
      <c r="B23" s="7">
        <v>1</v>
      </c>
      <c r="C23" s="7" t="s">
        <v>94</v>
      </c>
      <c r="D23" s="7" t="s">
        <v>95</v>
      </c>
      <c r="E23" s="7" t="s">
        <v>96</v>
      </c>
      <c r="F23" s="7" t="s">
        <v>0</v>
      </c>
      <c r="G23" s="7" t="s">
        <v>94</v>
      </c>
      <c r="H23" s="7" t="s">
        <v>97</v>
      </c>
      <c r="I23" s="7" t="s">
        <v>98</v>
      </c>
      <c r="J23" s="7" t="s">
        <v>26</v>
      </c>
      <c r="K23" s="7" t="s">
        <v>0</v>
      </c>
      <c r="L23" s="8" t="e">
        <f t="shared" si="1"/>
        <v>#VALUE!</v>
      </c>
    </row>
    <row r="24" spans="1:12" ht="14.25" customHeight="1" x14ac:dyDescent="0.2">
      <c r="A24" s="6">
        <f t="shared" si="0"/>
        <v>18</v>
      </c>
      <c r="B24" s="7">
        <v>1</v>
      </c>
      <c r="C24" s="7" t="s">
        <v>99</v>
      </c>
      <c r="D24" s="7" t="s">
        <v>100</v>
      </c>
      <c r="E24" s="7" t="s">
        <v>101</v>
      </c>
      <c r="F24" s="7" t="s">
        <v>99</v>
      </c>
      <c r="G24" s="7" t="s">
        <v>102</v>
      </c>
      <c r="H24" s="7" t="s">
        <v>103</v>
      </c>
      <c r="I24" s="7" t="s">
        <v>104</v>
      </c>
      <c r="J24" s="7" t="s">
        <v>26</v>
      </c>
      <c r="K24" s="7" t="s">
        <v>0</v>
      </c>
      <c r="L24" s="8" t="e">
        <f t="shared" si="1"/>
        <v>#VALUE!</v>
      </c>
    </row>
    <row r="25" spans="1:12" ht="14.25" customHeight="1" x14ac:dyDescent="0.2">
      <c r="A25" s="6">
        <f t="shared" si="0"/>
        <v>19</v>
      </c>
      <c r="B25" s="7">
        <v>2</v>
      </c>
      <c r="C25" s="7" t="s">
        <v>105</v>
      </c>
      <c r="D25" s="7" t="s">
        <v>106</v>
      </c>
      <c r="E25" s="7" t="s">
        <v>107</v>
      </c>
      <c r="F25" s="7" t="s">
        <v>105</v>
      </c>
      <c r="G25" s="7" t="s">
        <v>108</v>
      </c>
      <c r="H25" s="7" t="s">
        <v>103</v>
      </c>
      <c r="I25" s="7" t="s">
        <v>109</v>
      </c>
      <c r="J25" s="7" t="s">
        <v>26</v>
      </c>
      <c r="K25" s="7" t="s">
        <v>0</v>
      </c>
      <c r="L25" s="8" t="e">
        <f t="shared" si="1"/>
        <v>#VALUE!</v>
      </c>
    </row>
    <row r="26" spans="1:12" ht="14.25" customHeight="1" x14ac:dyDescent="0.2">
      <c r="A26" s="6">
        <f t="shared" si="0"/>
        <v>20</v>
      </c>
      <c r="B26" s="7">
        <v>4</v>
      </c>
      <c r="C26" s="7" t="s">
        <v>110</v>
      </c>
      <c r="D26" s="7" t="s">
        <v>111</v>
      </c>
      <c r="E26" s="7" t="s">
        <v>107</v>
      </c>
      <c r="F26" s="7" t="s">
        <v>110</v>
      </c>
      <c r="G26" s="7" t="s">
        <v>0</v>
      </c>
      <c r="H26" s="7" t="s">
        <v>0</v>
      </c>
      <c r="I26" s="7" t="s">
        <v>0</v>
      </c>
      <c r="J26" s="7" t="s">
        <v>0</v>
      </c>
      <c r="K26" s="7" t="s">
        <v>0</v>
      </c>
      <c r="L26" s="8" t="e">
        <f t="shared" si="1"/>
        <v>#VALUE!</v>
      </c>
    </row>
    <row r="27" spans="1:12" ht="14.25" customHeight="1" x14ac:dyDescent="0.2">
      <c r="A27" s="6">
        <f t="shared" si="0"/>
        <v>21</v>
      </c>
      <c r="B27" s="7">
        <v>1</v>
      </c>
      <c r="C27" s="7" t="s">
        <v>112</v>
      </c>
      <c r="D27" s="7" t="s">
        <v>113</v>
      </c>
      <c r="E27" s="7" t="s">
        <v>107</v>
      </c>
      <c r="F27" s="7" t="s">
        <v>112</v>
      </c>
      <c r="G27" s="7" t="s">
        <v>114</v>
      </c>
      <c r="H27" s="7" t="s">
        <v>46</v>
      </c>
      <c r="I27" s="7" t="s">
        <v>115</v>
      </c>
      <c r="J27" s="7" t="s">
        <v>26</v>
      </c>
      <c r="K27" s="7" t="s">
        <v>0</v>
      </c>
      <c r="L27" s="8" t="e">
        <f t="shared" si="1"/>
        <v>#VALUE!</v>
      </c>
    </row>
    <row r="28" spans="1:12" ht="14.25" customHeight="1" x14ac:dyDescent="0.2">
      <c r="A28" s="6">
        <f t="shared" si="0"/>
        <v>22</v>
      </c>
      <c r="B28" s="7">
        <v>1</v>
      </c>
      <c r="C28" s="7" t="s">
        <v>116</v>
      </c>
      <c r="D28" s="7" t="s">
        <v>117</v>
      </c>
      <c r="E28" s="7" t="s">
        <v>118</v>
      </c>
      <c r="F28" s="7" t="s">
        <v>116</v>
      </c>
      <c r="G28" s="7" t="s">
        <v>119</v>
      </c>
      <c r="H28" s="7" t="s">
        <v>120</v>
      </c>
      <c r="I28" s="7" t="s">
        <v>121</v>
      </c>
      <c r="J28" s="7" t="s">
        <v>26</v>
      </c>
      <c r="K28" s="7" t="s">
        <v>0</v>
      </c>
      <c r="L28" s="8" t="e">
        <f t="shared" si="1"/>
        <v>#VALUE!</v>
      </c>
    </row>
    <row r="29" spans="1:12" ht="14.25" customHeight="1" x14ac:dyDescent="0.2">
      <c r="A29" s="6">
        <f t="shared" si="0"/>
        <v>23</v>
      </c>
      <c r="B29" s="7">
        <v>3</v>
      </c>
      <c r="C29" s="7" t="s">
        <v>122</v>
      </c>
      <c r="D29" s="7" t="s">
        <v>123</v>
      </c>
      <c r="E29" s="7" t="s">
        <v>107</v>
      </c>
      <c r="F29" s="7" t="s">
        <v>122</v>
      </c>
      <c r="G29" s="7" t="s">
        <v>0</v>
      </c>
      <c r="H29" s="7" t="s">
        <v>0</v>
      </c>
      <c r="I29" s="7" t="s">
        <v>0</v>
      </c>
      <c r="J29" s="7" t="s">
        <v>0</v>
      </c>
      <c r="K29" s="7" t="s">
        <v>0</v>
      </c>
      <c r="L29" s="8" t="e">
        <f t="shared" si="1"/>
        <v>#VALUE!</v>
      </c>
    </row>
    <row r="30" spans="1:12" ht="14.25" customHeight="1" x14ac:dyDescent="0.2">
      <c r="A30" s="6">
        <f t="shared" si="0"/>
        <v>24</v>
      </c>
      <c r="B30" s="7">
        <v>1</v>
      </c>
      <c r="C30" s="7" t="s">
        <v>124</v>
      </c>
      <c r="D30" s="7" t="s">
        <v>125</v>
      </c>
      <c r="E30" s="7" t="s">
        <v>126</v>
      </c>
      <c r="F30" s="7" t="s">
        <v>0</v>
      </c>
      <c r="G30" s="7" t="s">
        <v>124</v>
      </c>
      <c r="H30" s="7" t="s">
        <v>127</v>
      </c>
      <c r="I30" s="7" t="s">
        <v>128</v>
      </c>
      <c r="J30" s="7" t="s">
        <v>26</v>
      </c>
      <c r="K30" s="7" t="s">
        <v>0</v>
      </c>
      <c r="L30" s="8" t="e">
        <f t="shared" si="1"/>
        <v>#VALUE!</v>
      </c>
    </row>
    <row r="31" spans="1:12" ht="14.25" customHeight="1" x14ac:dyDescent="0.2">
      <c r="A31" s="6">
        <f t="shared" si="0"/>
        <v>25</v>
      </c>
      <c r="B31" s="7">
        <v>3</v>
      </c>
      <c r="C31" s="7" t="s">
        <v>129</v>
      </c>
      <c r="D31" s="7" t="s">
        <v>130</v>
      </c>
      <c r="E31" s="7" t="s">
        <v>107</v>
      </c>
      <c r="F31" s="7" t="s">
        <v>129</v>
      </c>
      <c r="G31" s="7" t="s">
        <v>0</v>
      </c>
      <c r="H31" s="7" t="s">
        <v>0</v>
      </c>
      <c r="I31" s="7" t="s">
        <v>0</v>
      </c>
      <c r="J31" s="7" t="s">
        <v>0</v>
      </c>
      <c r="K31" s="7" t="s">
        <v>0</v>
      </c>
      <c r="L31" s="8" t="e">
        <f t="shared" si="1"/>
        <v>#VALUE!</v>
      </c>
    </row>
    <row r="32" spans="1:12" ht="14.25" customHeight="1" x14ac:dyDescent="0.2">
      <c r="A32" s="6">
        <f t="shared" si="0"/>
        <v>26</v>
      </c>
      <c r="B32" s="7">
        <v>1</v>
      </c>
      <c r="C32" s="7" t="s">
        <v>105</v>
      </c>
      <c r="D32" s="7" t="s">
        <v>131</v>
      </c>
      <c r="E32" s="7" t="s">
        <v>107</v>
      </c>
      <c r="F32" s="7" t="s">
        <v>105</v>
      </c>
      <c r="G32" s="7" t="s">
        <v>132</v>
      </c>
      <c r="H32" s="7" t="s">
        <v>103</v>
      </c>
      <c r="I32" s="7" t="s">
        <v>0</v>
      </c>
      <c r="J32" s="7" t="s">
        <v>26</v>
      </c>
      <c r="K32" s="7" t="s">
        <v>0</v>
      </c>
      <c r="L32" s="8" t="e">
        <f t="shared" si="1"/>
        <v>#VALUE!</v>
      </c>
    </row>
    <row r="33" spans="1:12" ht="14.25" customHeight="1" x14ac:dyDescent="0.2">
      <c r="A33" s="6">
        <f t="shared" si="0"/>
        <v>27</v>
      </c>
      <c r="B33" s="7">
        <v>2</v>
      </c>
      <c r="C33" s="7" t="s">
        <v>133</v>
      </c>
      <c r="D33" s="7" t="s">
        <v>134</v>
      </c>
      <c r="E33" s="7" t="s">
        <v>135</v>
      </c>
      <c r="F33" s="7" t="s">
        <v>0</v>
      </c>
      <c r="G33" s="7" t="s">
        <v>133</v>
      </c>
      <c r="H33" s="7" t="s">
        <v>136</v>
      </c>
      <c r="I33" s="7" t="s">
        <v>137</v>
      </c>
      <c r="J33" s="7" t="s">
        <v>26</v>
      </c>
      <c r="K33" s="7" t="s">
        <v>0</v>
      </c>
      <c r="L33" s="8" t="e">
        <f t="shared" si="1"/>
        <v>#VALUE!</v>
      </c>
    </row>
    <row r="34" spans="1:12" ht="14.25" customHeight="1" x14ac:dyDescent="0.2">
      <c r="A34" s="6">
        <f t="shared" si="0"/>
        <v>28</v>
      </c>
      <c r="B34" s="7">
        <v>4</v>
      </c>
      <c r="C34" s="7" t="s">
        <v>138</v>
      </c>
      <c r="D34" s="7" t="s">
        <v>139</v>
      </c>
      <c r="E34" s="7" t="s">
        <v>140</v>
      </c>
      <c r="F34" s="7" t="s">
        <v>0</v>
      </c>
      <c r="G34" s="7" t="s">
        <v>138</v>
      </c>
      <c r="H34" s="7" t="s">
        <v>141</v>
      </c>
      <c r="I34" s="7" t="s">
        <v>142</v>
      </c>
      <c r="J34" s="7" t="s">
        <v>26</v>
      </c>
      <c r="K34" s="7" t="s">
        <v>0</v>
      </c>
      <c r="L34" s="8" t="e">
        <f t="shared" si="1"/>
        <v>#VALUE!</v>
      </c>
    </row>
    <row r="35" spans="1:12" ht="14.25" customHeight="1" x14ac:dyDescent="0.2">
      <c r="A35" s="6">
        <f t="shared" si="0"/>
        <v>29</v>
      </c>
      <c r="B35" s="7">
        <v>1</v>
      </c>
      <c r="C35" s="7" t="s">
        <v>143</v>
      </c>
      <c r="D35" s="7" t="s">
        <v>144</v>
      </c>
      <c r="E35" s="7" t="s">
        <v>145</v>
      </c>
      <c r="F35" s="7" t="s">
        <v>0</v>
      </c>
      <c r="G35" s="7" t="s">
        <v>143</v>
      </c>
      <c r="H35" s="7" t="s">
        <v>146</v>
      </c>
      <c r="I35" s="7" t="s">
        <v>147</v>
      </c>
      <c r="J35" s="7" t="s">
        <v>26</v>
      </c>
      <c r="K35" s="7" t="s">
        <v>0</v>
      </c>
      <c r="L35" s="8" t="e">
        <f t="shared" si="1"/>
        <v>#VALUE!</v>
      </c>
    </row>
    <row r="36" spans="1:12" x14ac:dyDescent="0.2">
      <c r="A36" s="6">
        <f t="shared" si="0"/>
        <v>30</v>
      </c>
      <c r="B36" s="7">
        <v>1</v>
      </c>
      <c r="C36" s="7" t="s">
        <v>148</v>
      </c>
      <c r="D36" s="7" t="s">
        <v>149</v>
      </c>
      <c r="E36" s="7" t="s">
        <v>150</v>
      </c>
      <c r="F36" s="7" t="s">
        <v>0</v>
      </c>
      <c r="G36" s="7" t="s">
        <v>148</v>
      </c>
      <c r="H36" s="7" t="s">
        <v>151</v>
      </c>
      <c r="I36" s="7" t="s">
        <v>152</v>
      </c>
      <c r="J36" s="7" t="s">
        <v>26</v>
      </c>
      <c r="K36" s="7" t="s">
        <v>0</v>
      </c>
      <c r="L36" s="8" t="e">
        <f t="shared" si="1"/>
        <v>#VALUE!</v>
      </c>
    </row>
    <row r="37" spans="1:12" x14ac:dyDescent="0.2">
      <c r="A37" s="6">
        <f t="shared" si="0"/>
        <v>31</v>
      </c>
      <c r="B37" s="7">
        <v>4</v>
      </c>
      <c r="C37" s="7" t="s">
        <v>153</v>
      </c>
      <c r="D37" s="7" t="s">
        <v>154</v>
      </c>
      <c r="E37" s="7" t="s">
        <v>155</v>
      </c>
      <c r="F37" s="7" t="s">
        <v>0</v>
      </c>
      <c r="G37" s="7" t="s">
        <v>0</v>
      </c>
      <c r="H37" s="7" t="s">
        <v>0</v>
      </c>
      <c r="I37" s="7" t="s">
        <v>0</v>
      </c>
      <c r="J37" s="7" t="s">
        <v>0</v>
      </c>
      <c r="K37" s="7" t="s">
        <v>0</v>
      </c>
      <c r="L37" s="8" t="e">
        <f t="shared" si="1"/>
        <v>#VALUE!</v>
      </c>
    </row>
    <row r="38" spans="1:12" x14ac:dyDescent="0.2">
      <c r="A38" s="6">
        <f t="shared" si="0"/>
        <v>32</v>
      </c>
      <c r="B38" s="7">
        <v>2</v>
      </c>
      <c r="C38" s="7" t="s">
        <v>156</v>
      </c>
      <c r="D38" s="7" t="s">
        <v>157</v>
      </c>
      <c r="E38" s="7" t="s">
        <v>158</v>
      </c>
      <c r="F38" s="7" t="s">
        <v>0</v>
      </c>
      <c r="G38" s="7" t="s">
        <v>156</v>
      </c>
      <c r="H38" s="7" t="s">
        <v>159</v>
      </c>
      <c r="I38" s="7" t="s">
        <v>160</v>
      </c>
      <c r="J38" s="7" t="s">
        <v>26</v>
      </c>
      <c r="K38" s="7" t="s">
        <v>0</v>
      </c>
      <c r="L38" s="8" t="e">
        <f t="shared" si="1"/>
        <v>#VALUE!</v>
      </c>
    </row>
    <row r="39" spans="1:12" x14ac:dyDescent="0.2">
      <c r="A39" s="6">
        <f t="shared" si="0"/>
        <v>33</v>
      </c>
      <c r="B39" s="7">
        <v>1</v>
      </c>
      <c r="C39" s="7" t="s">
        <v>161</v>
      </c>
      <c r="D39" s="7" t="s">
        <v>162</v>
      </c>
      <c r="E39" s="7" t="s">
        <v>163</v>
      </c>
      <c r="F39" s="7" t="s">
        <v>0</v>
      </c>
      <c r="G39" s="7" t="s">
        <v>161</v>
      </c>
      <c r="H39" s="7" t="s">
        <v>164</v>
      </c>
      <c r="I39" s="7" t="s">
        <v>165</v>
      </c>
      <c r="J39" s="7" t="s">
        <v>26</v>
      </c>
      <c r="K39" s="7" t="s">
        <v>0</v>
      </c>
      <c r="L39" s="8" t="e">
        <f t="shared" si="1"/>
        <v>#VALUE!</v>
      </c>
    </row>
    <row r="40" spans="1:12" x14ac:dyDescent="0.2">
      <c r="A40" s="6">
        <f t="shared" si="0"/>
        <v>34</v>
      </c>
      <c r="B40" s="7">
        <v>1</v>
      </c>
      <c r="C40" s="7" t="s">
        <v>166</v>
      </c>
      <c r="D40" s="7" t="s">
        <v>167</v>
      </c>
      <c r="E40" s="7" t="s">
        <v>168</v>
      </c>
      <c r="F40" s="7" t="s">
        <v>0</v>
      </c>
      <c r="G40" s="7" t="s">
        <v>166</v>
      </c>
      <c r="H40" s="7" t="s">
        <v>30</v>
      </c>
      <c r="I40" s="7" t="s">
        <v>169</v>
      </c>
      <c r="J40" s="7" t="s">
        <v>26</v>
      </c>
      <c r="K40" s="7" t="s">
        <v>0</v>
      </c>
      <c r="L40" s="8" t="e">
        <f t="shared" si="1"/>
        <v>#VALUE!</v>
      </c>
    </row>
    <row r="41" spans="1:12" x14ac:dyDescent="0.2">
      <c r="A41" s="6">
        <f t="shared" si="0"/>
        <v>35</v>
      </c>
      <c r="B41" s="7">
        <v>1</v>
      </c>
      <c r="C41" s="7" t="s">
        <v>170</v>
      </c>
      <c r="D41" s="7" t="s">
        <v>171</v>
      </c>
      <c r="E41" s="7" t="s">
        <v>172</v>
      </c>
      <c r="F41" s="7" t="s">
        <v>0</v>
      </c>
      <c r="G41" s="7" t="s">
        <v>170</v>
      </c>
      <c r="H41" s="7" t="s">
        <v>68</v>
      </c>
      <c r="I41" s="7" t="s">
        <v>173</v>
      </c>
      <c r="J41" s="7" t="s">
        <v>26</v>
      </c>
      <c r="K41" s="7" t="s">
        <v>0</v>
      </c>
      <c r="L41" s="8" t="e">
        <f t="shared" si="1"/>
        <v>#VALUE!</v>
      </c>
    </row>
    <row r="42" spans="1:12" x14ac:dyDescent="0.2">
      <c r="A42" s="6">
        <f t="shared" si="0"/>
        <v>36</v>
      </c>
      <c r="B42" s="7">
        <v>1</v>
      </c>
      <c r="C42" s="7" t="s">
        <v>174</v>
      </c>
      <c r="D42" s="7" t="s">
        <v>175</v>
      </c>
      <c r="E42" s="7" t="s">
        <v>175</v>
      </c>
      <c r="F42" s="7" t="s">
        <v>0</v>
      </c>
      <c r="G42" s="7" t="s">
        <v>174</v>
      </c>
      <c r="H42" s="7" t="s">
        <v>176</v>
      </c>
      <c r="I42" s="7" t="s">
        <v>177</v>
      </c>
      <c r="J42" s="7" t="s">
        <v>26</v>
      </c>
      <c r="K42" s="7" t="s">
        <v>0</v>
      </c>
      <c r="L42" s="8" t="e">
        <f t="shared" si="1"/>
        <v>#VALUE!</v>
      </c>
    </row>
    <row r="43" spans="1:12" x14ac:dyDescent="0.2">
      <c r="A43" s="6">
        <f t="shared" si="0"/>
        <v>37</v>
      </c>
      <c r="B43" s="11" t="e">
        <f>SUM(L7:L42)</f>
        <v>#VALUE!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6" spans="1:12" ht="14.25" customHeight="1" x14ac:dyDescent="0.15">
      <c r="C46" s="12" t="s">
        <v>195</v>
      </c>
      <c r="D46" s="12"/>
      <c r="E46" s="12"/>
    </row>
    <row r="47" spans="1:12" ht="14.25" customHeight="1" x14ac:dyDescent="0.15">
      <c r="C47" s="12"/>
      <c r="D47" s="12"/>
      <c r="E47" s="12"/>
    </row>
    <row r="48" spans="1:12" ht="14.25" customHeight="1" x14ac:dyDescent="0.15">
      <c r="C48" s="12"/>
      <c r="D48" s="12"/>
      <c r="E48" s="12"/>
    </row>
    <row r="49" spans="3:5" ht="14.25" customHeight="1" x14ac:dyDescent="0.15">
      <c r="C49" s="12"/>
      <c r="D49" s="12"/>
      <c r="E49" s="12"/>
    </row>
  </sheetData>
  <mergeCells count="5">
    <mergeCell ref="A1:D5"/>
    <mergeCell ref="E1:E2"/>
    <mergeCell ref="F1:F2"/>
    <mergeCell ref="B43:L43"/>
    <mergeCell ref="C46:E49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="220" zoomScaleNormal="220" workbookViewId="0">
      <selection activeCell="B14" sqref="B14"/>
    </sheetView>
  </sheetViews>
  <sheetFormatPr defaultColWidth="9" defaultRowHeight="14.25" customHeight="1" x14ac:dyDescent="0.15"/>
  <cols>
    <col min="1" max="1" width="23.625" customWidth="1"/>
    <col min="2" max="2" width="57.5" customWidth="1"/>
  </cols>
  <sheetData>
    <row r="1" spans="1:2" ht="14.25" customHeight="1" x14ac:dyDescent="0.2">
      <c r="A1" s="4" t="s">
        <v>178</v>
      </c>
      <c r="B1" s="4" t="s">
        <v>4</v>
      </c>
    </row>
    <row r="2" spans="1:2" ht="14.25" customHeight="1" x14ac:dyDescent="0.2">
      <c r="A2" s="4" t="s">
        <v>179</v>
      </c>
      <c r="B2" s="4" t="s">
        <v>180</v>
      </c>
    </row>
    <row r="3" spans="1:2" ht="14.25" customHeight="1" x14ac:dyDescent="0.2">
      <c r="A3" s="4" t="s">
        <v>181</v>
      </c>
      <c r="B3" s="4" t="s">
        <v>182</v>
      </c>
    </row>
    <row r="4" spans="1:2" ht="14.25" customHeight="1" x14ac:dyDescent="0.2">
      <c r="A4" s="4" t="s">
        <v>183</v>
      </c>
      <c r="B4" s="4" t="s">
        <v>184</v>
      </c>
    </row>
    <row r="5" spans="1:2" ht="14.25" customHeight="1" x14ac:dyDescent="0.2">
      <c r="A5" s="4" t="s">
        <v>185</v>
      </c>
      <c r="B5" s="4" t="s">
        <v>6</v>
      </c>
    </row>
    <row r="6" spans="1:2" ht="14.25" customHeight="1" x14ac:dyDescent="0.2">
      <c r="A6" s="4" t="s">
        <v>186</v>
      </c>
      <c r="B6" s="4">
        <v>62</v>
      </c>
    </row>
    <row r="7" spans="1:2" ht="14.25" customHeight="1" x14ac:dyDescent="0.2">
      <c r="A7" s="4" t="s">
        <v>187</v>
      </c>
      <c r="B7" s="4" t="s">
        <v>188</v>
      </c>
    </row>
    <row r="8" spans="1:2" ht="14.25" customHeight="1" x14ac:dyDescent="0.2">
      <c r="A8" s="4" t="s">
        <v>189</v>
      </c>
      <c r="B8" s="4" t="s">
        <v>190</v>
      </c>
    </row>
    <row r="9" spans="1:2" ht="14.25" customHeight="1" x14ac:dyDescent="0.2">
      <c r="A9" s="4" t="s">
        <v>191</v>
      </c>
      <c r="B9" s="4" t="s">
        <v>8</v>
      </c>
    </row>
    <row r="10" spans="1:2" ht="14.25" customHeight="1" x14ac:dyDescent="0.2">
      <c r="A10" s="4" t="s">
        <v>192</v>
      </c>
      <c r="B10" s="4" t="s">
        <v>2</v>
      </c>
    </row>
    <row r="11" spans="1:2" ht="14.25" customHeight="1" x14ac:dyDescent="0.2">
      <c r="A11" s="4" t="s">
        <v>193</v>
      </c>
      <c r="B11" s="4" t="s">
        <v>194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2024-08-02T02:42:32Z</dcterms:created>
  <dcterms:modified xsi:type="dcterms:W3CDTF">2026-04-26T10:05:51Z</dcterms:modified>
  <cp:category/>
</cp:coreProperties>
</file>